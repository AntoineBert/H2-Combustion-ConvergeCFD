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tr\Documents\Code\H2-Combustion-ConvergeCFD\docs\"/>
    </mc:Choice>
  </mc:AlternateContent>
  <xr:revisionPtr revIDLastSave="0" documentId="13_ncr:1_{6ADB2C5F-249E-436D-B4EA-39F7A8E4F7FD}" xr6:coauthVersionLast="47" xr6:coauthVersionMax="47" xr10:uidLastSave="{00000000-0000-0000-0000-000000000000}"/>
  <bookViews>
    <workbookView xWindow="-108" yWindow="-108" windowWidth="23256" windowHeight="12456" xr2:uid="{18A1E789-0779-4C7B-88E9-BAB16E83F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/>
  <c r="I4" i="1"/>
  <c r="J4" i="1"/>
  <c r="F4" i="1"/>
  <c r="G3" i="1"/>
  <c r="F3" i="1"/>
  <c r="H3" i="1" s="1"/>
  <c r="I3" i="1" l="1"/>
  <c r="J3" i="1" l="1"/>
</calcChain>
</file>

<file path=xl/sharedStrings.xml><?xml version="1.0" encoding="utf-8"?>
<sst xmlns="http://schemas.openxmlformats.org/spreadsheetml/2006/main" count="11" uniqueCount="11">
  <si>
    <t>Equivalence Ratio</t>
  </si>
  <si>
    <t>Air</t>
  </si>
  <si>
    <t>h2</t>
  </si>
  <si>
    <t>n2</t>
  </si>
  <si>
    <t>o2</t>
  </si>
  <si>
    <t>Air to Fuel Ratio Stochiometric</t>
  </si>
  <si>
    <t>total</t>
  </si>
  <si>
    <t>Species</t>
  </si>
  <si>
    <t>Percentage</t>
  </si>
  <si>
    <t>Fraction</t>
  </si>
  <si>
    <t>Mass Species Calculator made for H2 : Change the Equivalence Ratio to have the fraction of all the species injected in the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</si>
</sst>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9" fontId="0" fillId="3" borderId="1" xfId="1" applyFont="1" applyFill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29FD-3CDF-4734-8EBC-23CA6F8E6C7F}">
  <dimension ref="A1:W39"/>
  <sheetViews>
    <sheetView tabSelected="1" workbookViewId="0">
      <selection activeCell="E22" sqref="E22"/>
    </sheetView>
  </sheetViews>
  <sheetFormatPr baseColWidth="10" defaultColWidth="8.88671875" defaultRowHeight="14.4" x14ac:dyDescent="0.3"/>
  <cols>
    <col min="1" max="1" width="2.77734375" customWidth="1"/>
    <col min="2" max="2" width="25.21875" bestFit="1" customWidth="1"/>
    <col min="4" max="4" width="3.21875" customWidth="1"/>
    <col min="5" max="5" width="12" bestFit="1" customWidth="1"/>
    <col min="7" max="9" width="12" bestFit="1" customWidth="1"/>
    <col min="12" max="23" width="8.88671875" style="2"/>
  </cols>
  <sheetData>
    <row r="1" spans="1:1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2"/>
      <c r="B2" s="1" t="s">
        <v>0</v>
      </c>
      <c r="C2" s="3">
        <v>0.3</v>
      </c>
      <c r="D2" s="2"/>
      <c r="E2" s="1" t="s">
        <v>7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6</v>
      </c>
      <c r="K2" s="2"/>
    </row>
    <row r="3" spans="1:11" x14ac:dyDescent="0.3">
      <c r="A3" s="2"/>
      <c r="B3" s="1" t="s">
        <v>5</v>
      </c>
      <c r="C3" s="3">
        <v>34</v>
      </c>
      <c r="D3" s="2"/>
      <c r="E3" s="1" t="s">
        <v>8</v>
      </c>
      <c r="F3" s="4">
        <f>1/(1+C2/C3)</f>
        <v>0.99125364431486884</v>
      </c>
      <c r="G3" s="4">
        <f>1/(1+C3/C2)</f>
        <v>8.7463556851311939E-3</v>
      </c>
      <c r="H3" s="4">
        <f>0.767*F3</f>
        <v>0.76029154518950437</v>
      </c>
      <c r="I3" s="4">
        <f>0.233*F3</f>
        <v>0.23096209912536445</v>
      </c>
      <c r="J3" s="4">
        <f>G3+H3+I3</f>
        <v>1</v>
      </c>
      <c r="K3" s="2"/>
    </row>
    <row r="4" spans="1:11" x14ac:dyDescent="0.3">
      <c r="A4" s="2"/>
      <c r="B4" s="2"/>
      <c r="C4" s="2"/>
      <c r="D4" s="2"/>
      <c r="E4" s="1" t="s">
        <v>9</v>
      </c>
      <c r="F4" s="3">
        <f>F3</f>
        <v>0.99125364431486884</v>
      </c>
      <c r="G4" s="3">
        <f t="shared" ref="G4:J4" si="0">G3</f>
        <v>8.7463556851311939E-3</v>
      </c>
      <c r="H4" s="3">
        <f t="shared" si="0"/>
        <v>0.76029154518950437</v>
      </c>
      <c r="I4" s="3">
        <f t="shared" si="0"/>
        <v>0.23096209912536445</v>
      </c>
      <c r="J4" s="3">
        <f t="shared" si="0"/>
        <v>1</v>
      </c>
      <c r="K4" s="2"/>
    </row>
    <row r="5" spans="1:1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s="2" customFormat="1" x14ac:dyDescent="0.3"/>
    <row r="7" spans="1:11" s="2" customFormat="1" x14ac:dyDescent="0.3">
      <c r="B7" s="2" t="s">
        <v>10</v>
      </c>
    </row>
    <row r="8" spans="1:11" s="2" customFormat="1" x14ac:dyDescent="0.3"/>
    <row r="9" spans="1:11" s="2" customFormat="1" x14ac:dyDescent="0.3"/>
    <row r="10" spans="1:11" s="2" customFormat="1" x14ac:dyDescent="0.3"/>
    <row r="11" spans="1:11" s="2" customFormat="1" x14ac:dyDescent="0.3"/>
    <row r="12" spans="1:11" s="2" customFormat="1" x14ac:dyDescent="0.3"/>
    <row r="13" spans="1:11" s="2" customFormat="1" x14ac:dyDescent="0.3"/>
    <row r="14" spans="1:11" s="2" customFormat="1" x14ac:dyDescent="0.3"/>
    <row r="15" spans="1:11" s="2" customFormat="1" x14ac:dyDescent="0.3"/>
    <row r="16" spans="1:11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Bertrand</dc:creator>
  <cp:lastModifiedBy>Bertrand,Antoine</cp:lastModifiedBy>
  <dcterms:created xsi:type="dcterms:W3CDTF">2025-05-09T18:37:02Z</dcterms:created>
  <dcterms:modified xsi:type="dcterms:W3CDTF">2026-02-12T06:35:34Z</dcterms:modified>
</cp:coreProperties>
</file>